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athleenkuehn/Projects/Awhi-website/school/"/>
    </mc:Choice>
  </mc:AlternateContent>
  <xr:revisionPtr revIDLastSave="0" documentId="8_{0EFFBB7D-2FC0-7941-86CC-63D3C08DBE39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2026-2027 Rates" sheetId="5" r:id="rId1"/>
    <sheet name="2028 Rates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5" l="1"/>
</calcChain>
</file>

<file path=xl/sharedStrings.xml><?xml version="1.0" encoding="utf-8"?>
<sst xmlns="http://schemas.openxmlformats.org/spreadsheetml/2006/main" count="291" uniqueCount="154">
  <si>
    <t>AWHI Yoga &amp; Wellbeing — 300-Hour YTT Pricing Model</t>
  </si>
  <si>
    <t>Module</t>
  </si>
  <si>
    <t>Total Hrs</t>
  </si>
  <si>
    <t>Enrolment</t>
  </si>
  <si>
    <t>Public Price</t>
  </si>
  <si>
    <t>Suggested Dates</t>
  </si>
  <si>
    <t>Notes</t>
  </si>
  <si>
    <t xml:space="preserve">  Mantra, Pranayama &amp; Meditation</t>
  </si>
  <si>
    <t>Open</t>
  </si>
  <si>
    <t xml:space="preserve">  Sat 5 &amp; 26 Sept 2026</t>
  </si>
  <si>
    <t xml:space="preserve">  </t>
  </si>
  <si>
    <t xml:space="preserve">  Anatomy: Legs, Hips &amp; Pelvis</t>
  </si>
  <si>
    <t xml:space="preserve">  Fri–Sun, 22–24 Jan 2027</t>
  </si>
  <si>
    <t xml:space="preserve">  Anatomy: Spine &amp; Core</t>
  </si>
  <si>
    <t xml:space="preserve">  Fri–Sun, 11–13 June 2027</t>
  </si>
  <si>
    <t xml:space="preserve">  Anatomy: Shoulders &amp; Neck</t>
  </si>
  <si>
    <t xml:space="preserve">  Fri–Sun, 23–25 Jul 2027</t>
  </si>
  <si>
    <t xml:space="preserve">  Yoga Philosophy (Pt 1)</t>
  </si>
  <si>
    <t xml:space="preserve">  Sat–Mon, 27 Feb–8 Mar 2027</t>
  </si>
  <si>
    <t xml:space="preserve">  Yoga Philosophy (Pt 2): Lifestyle &amp; Ethics</t>
  </si>
  <si>
    <t xml:space="preserve">  Sat–Sun, 3–4 Apr 2027</t>
  </si>
  <si>
    <t xml:space="preserve">  The (He)art of Sequencing</t>
  </si>
  <si>
    <t xml:space="preserve">  Sat–Sun, 13–14 Mar &amp; 21–22 Aug 2027</t>
  </si>
  <si>
    <t xml:space="preserve">  Two intakes</t>
  </si>
  <si>
    <t xml:space="preserve">  Teaching Practicum</t>
  </si>
  <si>
    <t>YTT Only</t>
  </si>
  <si>
    <t>—</t>
  </si>
  <si>
    <t xml:space="preserve">  Fri–Sun, 10–12 Sept 2027</t>
  </si>
  <si>
    <t xml:space="preserve">  Prerequisite: min. 4 required modules</t>
  </si>
  <si>
    <t xml:space="preserve">  Prenatal Yoga</t>
  </si>
  <si>
    <t xml:space="preserve">  Fri–Sun, 14–16 Aug 2026</t>
  </si>
  <si>
    <t xml:space="preserve">  Yoga in ACTion</t>
  </si>
  <si>
    <t xml:space="preserve">  Saturdays Oct–Nov 2026</t>
  </si>
  <si>
    <t xml:space="preserve">  Hands On Assists</t>
  </si>
  <si>
    <t xml:space="preserve">  Fri–Sun, 30 Oct–1 Nov 2026</t>
  </si>
  <si>
    <t xml:space="preserve">  Two dates available</t>
  </si>
  <si>
    <t xml:space="preserve">  Yoga Nidra</t>
  </si>
  <si>
    <t xml:space="preserve">  1 May 2027 (online)</t>
  </si>
  <si>
    <t xml:space="preserve">  Mātauranga Māori Meets Yoga</t>
  </si>
  <si>
    <t xml:space="preserve">  Wed 5, 12, 19, 26 May 2027</t>
  </si>
  <si>
    <t xml:space="preserve">  Evening sessions</t>
  </si>
  <si>
    <t xml:space="preserve">  Online Wānanga</t>
  </si>
  <si>
    <t>Complimentary</t>
  </si>
  <si>
    <t xml:space="preserve">  Dates vary</t>
  </si>
  <si>
    <t xml:space="preserve">  Complimentary — included with 300hr enrolment</t>
  </si>
  <si>
    <t xml:space="preserve">  Wrap-Up Seminar &amp; Graduation 🎓</t>
  </si>
  <si>
    <t xml:space="preserve">  Sat 23 Oct 2027</t>
  </si>
  <si>
    <t xml:space="preserve">  ● Open = available to any student     ● YTT Only = reserved for enrolled 300hr candidates     ● Complimentary = no charge</t>
  </si>
  <si>
    <t>Option</t>
  </si>
  <si>
    <t>Price (NZD)</t>
  </si>
  <si>
    <t>Deposit</t>
  </si>
  <si>
    <t>Balance / Instalments</t>
  </si>
  <si>
    <t>Saving vs à la carte</t>
  </si>
  <si>
    <t xml:space="preserve">  Paid in full</t>
  </si>
  <si>
    <t xml:space="preserve">  Standard — Pay in Full</t>
  </si>
  <si>
    <t xml:space="preserve">  Payment Plan — 2 instalments</t>
  </si>
  <si>
    <t xml:space="preserve">  Payment Plan — 4 instalments</t>
  </si>
  <si>
    <t xml:space="preserve">  Final instalment due June 2027</t>
  </si>
  <si>
    <t xml:space="preserve">  YTT-Only Modules</t>
  </si>
  <si>
    <t xml:space="preserve">  Module Credits</t>
  </si>
  <si>
    <t xml:space="preserve">  Payment Plans</t>
  </si>
  <si>
    <t>All prices NZD  ·  Module prices based on Total Module Hours  ·  Online Wānanga &amp; Graduation complimentary with 300hr enrolment</t>
  </si>
  <si>
    <t xml:space="preserve">  SECTION 1 — MARKET CONTEXT</t>
  </si>
  <si>
    <t>Provider</t>
  </si>
  <si>
    <t>Programme</t>
  </si>
  <si>
    <t>Format</t>
  </si>
  <si>
    <t xml:space="preserve">  AWHI Yoga &amp; Wellbeing</t>
  </si>
  <si>
    <t xml:space="preserve">  200hr YTT — Early Bird</t>
  </si>
  <si>
    <t xml:space="preserve">  Part-time, Wellington</t>
  </si>
  <si>
    <t xml:space="preserve">  Our own baseline — 300hr must sit above this</t>
  </si>
  <si>
    <t xml:space="preserve">  200hr YTT — Full Rate</t>
  </si>
  <si>
    <t xml:space="preserve">  NZ Yoga Collective</t>
  </si>
  <si>
    <t xml:space="preserve">  300hr YTT</t>
  </si>
  <si>
    <t xml:space="preserve">  —</t>
  </si>
  <si>
    <t xml:space="preserve">  Direct NZ competitor benchmark</t>
  </si>
  <si>
    <t xml:space="preserve">  Asia Pacific Yoga</t>
  </si>
  <si>
    <t xml:space="preserve">  300hr YTT (tuition only)</t>
  </si>
  <si>
    <t xml:space="preserve">  Residential, Taupo</t>
  </si>
  <si>
    <t xml:space="preserve">  26-day immersive; different format</t>
  </si>
  <si>
    <t xml:space="preserve">  Contemporary Yoga NZ</t>
  </si>
  <si>
    <t xml:space="preserve">  200hr YTT</t>
  </si>
  <si>
    <t xml:space="preserve">  Auckland</t>
  </si>
  <si>
    <t xml:space="preserve">  Reference for market ceiling at 200hr level</t>
  </si>
  <si>
    <t xml:space="preserve">  SECTION 2 — INDIVIDUAL MODULE PRICES  (open modules available to the general public)</t>
  </si>
  <si>
    <t xml:space="preserve">  ELECTIVES — choose any 2 for the 300hr pathway (all open to the general public)</t>
  </si>
  <si>
    <t xml:space="preserve">  SECTION 3 — FULL 300-HOUR ENROLMENT OPTIONS</t>
  </si>
  <si>
    <t xml:space="preserve">  Early Bird — Pay in Full (by 1 July 2027)</t>
  </si>
  <si>
    <t xml:space="preserve">  Save $510 vs à la carte — closes 1 July 2027</t>
  </si>
  <si>
    <t xml:space="preserve">  On a par with NZ Yoga Collective ($4,800)</t>
  </si>
  <si>
    <t xml:space="preserve">  $995 deposit + $4,000</t>
  </si>
  <si>
    <t xml:space="preserve">  Balance due at programme start Sept 2027</t>
  </si>
  <si>
    <t xml:space="preserve">  $995 deposit + 3 × $1,400</t>
  </si>
  <si>
    <t xml:space="preserve">  À la carte total (7 open required modules + 2 electives)</t>
  </si>
  <si>
    <t xml:space="preserve">  For reference — Teaching Practicum bundled into full enrolment</t>
  </si>
  <si>
    <t xml:space="preserve">  SECTION 4 — PRICING RATIONALE &amp; NOTES</t>
  </si>
  <si>
    <t xml:space="preserve">  Pricing Rationale</t>
  </si>
  <si>
    <t>Module prices set at approx. $21/hr on Total Module Hours: 35hr = $695, 25hr = $525, 15hr electives = $325. Rate is intentionally accessible for the general public while ensuring full enrolment remains the better-value pathway.</t>
  </si>
  <si>
    <t xml:space="preserve">  Full Enrolment Logic</t>
  </si>
  <si>
    <t>Standard enrolment ($4,795) is marginally cheaper than taking all modules à la carte ($5,005) — a saving of ~$210 — incentivising the full pathway without creating a large gap that devalues individual modules. Early Bird ($4,495) offers a more compelling saving of $510.</t>
  </si>
  <si>
    <t xml:space="preserve">  Market Positioning</t>
  </si>
  <si>
    <t>Standard full enrolment ($4,795) sits on a par with NZ Yoga Collective ($4,800) and clearly above our own 200hr early bird ($3,999) and full rate ($4,599), which is the correct hierarchy.</t>
  </si>
  <si>
    <t>Teaching Practicum has no standalone public price — it is embedded in the full enrolment and is a YTT-pathway requirement. Prerequisite: completion of at least 4 required modules.</t>
  </si>
  <si>
    <t>Students who attend open modules individually and later enrol in the full 300hr pathway receive credit for fees paid, applied against their full enrolment balance.</t>
  </si>
  <si>
    <t>Teaching Practicum, Online Wānanga, and Graduation are restricted to enrolled 300hr candidates. Wānanga and Graduation are complimentary.</t>
  </si>
  <si>
    <t xml:space="preserve">  Payment Plan Premium</t>
  </si>
  <si>
    <t>Instalment plans carry a premium ($200–$400) to cover administration and cashflow risk. A non-refundable deposit secures the place.</t>
  </si>
  <si>
    <t>Early bird deadlines for both individual modules and full enrolment to be set and communicated consistently across all channels. Suggested: 6–8 weeks before each module's start date for individual modules; 1 July 2027 for full enrolment.</t>
  </si>
  <si>
    <t xml:space="preserve">  Early Bird Deadlines</t>
  </si>
  <si>
    <t>Instalment plans carry a $200–$400 premium over standard full-pay. Non-refundable deposit secures a place. Final instalment due June 2027 to align with programme completion.</t>
  </si>
  <si>
    <t>Individual module prices are set to be genuinely accessible to the general public — practitioners, curious learners, and CPD seekers who have no interest in the full certification. They should not feel like a penalty pricing structure designed only to push people toward full enrolment.</t>
  </si>
  <si>
    <t xml:space="preserve">  À la carte Philosophy</t>
  </si>
  <si>
    <t>Full enrolment standard ($4,495) sits below NZ Yoga Collective ($4,800) and just below our own 200hr full rate ($4,599). Worth reviewing whether standard should nudge to $4,595–$4,699 to clear the 200hr full rate. Early bird ($3,995) aligns with our 200hr early bird ($3,999) — appropriate as a reward for early commitment.</t>
  </si>
  <si>
    <t>The $750 conversion fee (full) / $549 (EB) covers the three YTT-only components: Teaching Practicum, Online Wānanga, and Graduation. It is not an admin penalty — it reflects the genuine cost of these facilitated sessions. Module credits are applied; students do not pay twice for content.</t>
  </si>
  <si>
    <t xml:space="preserve">  Conversion Fee Logic</t>
  </si>
  <si>
    <t>Two entry points: (1) individual open modules at accessible public prices — no commitment required; (2) full 300hr enrolment upfront at a better overall rate. Students can start à la carte and convert later by paying the Pathway Conversion Fee.</t>
  </si>
  <si>
    <t xml:space="preserve">  Pathway Structure</t>
  </si>
  <si>
    <t xml:space="preserve">  SECTION 5 — NOTES &amp; RATIONALE</t>
  </si>
  <si>
    <t xml:space="preserve">  À la carte (early bird) + Conversion Fee — total cost via module-by-module route</t>
  </si>
  <si>
    <t xml:space="preserve">  À la carte (full price) + Conversion Fee — total cost via module-by-module route</t>
  </si>
  <si>
    <t xml:space="preserve">  $995 deposit + 3 × $1,300</t>
  </si>
  <si>
    <t xml:space="preserve">  $995 deposit + $3,700</t>
  </si>
  <si>
    <t xml:space="preserve">  Save $746 vs taking all modules full price à la carte + conversion</t>
  </si>
  <si>
    <t xml:space="preserve">  Save $565 vs taking all modules EB à la carte + conversion</t>
  </si>
  <si>
    <t xml:space="preserve">  Early Bird — Pay in Full (deadline TBC)</t>
  </si>
  <si>
    <t>Saving vs à la carte + conversion</t>
  </si>
  <si>
    <t xml:space="preserve">  SECTION 4 — FULL 300-HOUR ENROLMENT  (commit upfront — best value)</t>
  </si>
  <si>
    <t xml:space="preserve">  vs full enrolment standard ($4,495) — extra cost: $746</t>
  </si>
  <si>
    <t>$5,241</t>
  </si>
  <si>
    <t xml:space="preserve">  Total cost via à la carte route</t>
  </si>
  <si>
    <t>$750</t>
  </si>
  <si>
    <t xml:space="preserve">  + Pathway Conversion Fee (full rate)</t>
  </si>
  <si>
    <t>$4,491</t>
  </si>
  <si>
    <t xml:space="preserve">  Modules paid à la carte (full price)</t>
  </si>
  <si>
    <t xml:space="preserve">  EXAMPLE — Student who took all 7 required open modules + 2 electives at full price, then converts to full 300hr pathway</t>
  </si>
  <si>
    <t xml:space="preserve">  Teaching Practicum (25hrs) + Online Wānanga (20hrs) + Graduation (10hrs)</t>
  </si>
  <si>
    <t xml:space="preserve">  Pathway Conversion Fee</t>
  </si>
  <si>
    <t>What it covers</t>
  </si>
  <si>
    <t>Full Rate</t>
  </si>
  <si>
    <t>Early Bird</t>
  </si>
  <si>
    <t xml:space="preserve">  Students who have taken individual open modules and wish to enrol in the full 300-hour certification pathway pay a Pathway Conversion Fee. This fee covers the three YTT-only components not available à la carte: Teaching Practicum (25hrs), Online Wānanga (20hrs), and Wrap-Up &amp; Graduation (10hrs). All previously paid module fees are credited against the full enrolment price — students are not charged twice for content already completed.</t>
  </si>
  <si>
    <t xml:space="preserve">  SECTION 3 — PATHWAY CONVERSION FEE  (for students converting from à la carte to full 300hr certification)</t>
  </si>
  <si>
    <t xml:space="preserve">  ● Open = available to any student, no enrolment required     ● YTT Only = reserved for enrolled 300hr candidates     ● Complimentary with 300hr enrolment</t>
  </si>
  <si>
    <t xml:space="preserve">  Teaching Practicum, Wānanga &amp; Graduation not included</t>
  </si>
  <si>
    <t xml:space="preserve">  À la carte total (7 required open modules + 2 electives)</t>
  </si>
  <si>
    <t xml:space="preserve">  Electives subtotal (2 chosen)</t>
  </si>
  <si>
    <t xml:space="preserve">  Required Modules subtotal (7 open modules, à la carte)</t>
  </si>
  <si>
    <t>Full Price</t>
  </si>
  <si>
    <t>Hrs</t>
  </si>
  <si>
    <t xml:space="preserve">  SECTION 2 — INDIVIDUAL MODULE PRICES  (open to the general public — no enrolment required)</t>
  </si>
  <si>
    <t xml:space="preserve">  Auckland — market ceiling at 200hr level</t>
  </si>
  <si>
    <t xml:space="preserve">  Residential, Taupo — different format</t>
  </si>
  <si>
    <t xml:space="preserve">  300hr (tuition only)</t>
  </si>
  <si>
    <t xml:space="preserve">  Our baseline — 300hr must sit above this</t>
  </si>
  <si>
    <t>All prices NZD  ·  Individual modules open to the general public  ·  Pathway Conversion Fee applies if enrolling in full 300hr after taking modules à la carte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</si>
</sst>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E4D3B"/>
      <name val="Arial"/>
      <family val="2"/>
    </font>
    <font>
      <sz val="9"/>
      <color rgb="FF1A3A5C"/>
      <name val="Arial"/>
      <family val="2"/>
    </font>
    <font>
      <b/>
      <sz val="9"/>
      <color rgb="FF1A3A5C"/>
      <name val="Arial"/>
      <family val="2"/>
    </font>
    <font>
      <i/>
      <sz val="9"/>
      <color rgb="FF1A3A5C"/>
      <name val="Arial"/>
      <family val="2"/>
    </font>
    <font>
      <i/>
      <sz val="9"/>
      <color rgb="FF1E4D3B"/>
      <name val="Arial"/>
      <family val="2"/>
    </font>
    <font>
      <b/>
      <i/>
      <sz val="9"/>
      <color rgb="FF1A3A5C"/>
      <name val="Arial"/>
      <family val="2"/>
    </font>
    <font>
      <i/>
      <sz val="8"/>
      <color rgb="FF555555"/>
      <name val="Arial"/>
      <family val="2"/>
    </font>
    <font>
      <i/>
      <sz val="9"/>
      <color rgb="FF777777"/>
      <name val="Arial"/>
      <family val="2"/>
    </font>
    <font>
      <sz val="9"/>
      <color rgb="FF333333"/>
      <name val="Arial"/>
      <family val="2"/>
    </font>
    <font>
      <b/>
      <sz val="9"/>
      <color rgb="FF7A5C00"/>
      <name val="Arial"/>
      <family val="2"/>
    </font>
    <font>
      <sz val="9"/>
      <color rgb="FF7A5C00"/>
      <name val="Arial"/>
      <family val="2"/>
    </font>
    <font>
      <sz val="9"/>
      <color rgb="FF6B4C00"/>
      <name val="Arial"/>
      <family val="2"/>
    </font>
    <font>
      <b/>
      <sz val="9"/>
      <color rgb="FF6B4C00"/>
      <name val="Arial"/>
      <family val="2"/>
    </font>
    <font>
      <i/>
      <sz val="9"/>
      <color rgb="FFD8EAE1"/>
      <name val="Arial"/>
      <family val="2"/>
    </font>
    <font>
      <sz val="9"/>
      <color rgb="FF1E4D3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4D3B"/>
        <bgColor rgb="FF1A3A5C"/>
      </patternFill>
    </fill>
    <fill>
      <patternFill patternType="solid">
        <fgColor rgb="FFF9F6EF"/>
        <bgColor rgb="FFF4F4F4"/>
      </patternFill>
    </fill>
    <fill>
      <patternFill patternType="solid">
        <fgColor rgb="FF2D6A4F"/>
        <bgColor rgb="FF1E4D3B"/>
      </patternFill>
    </fill>
    <fill>
      <patternFill patternType="solid">
        <fgColor rgb="FFFFFFFF"/>
        <bgColor rgb="FFF9F6EF"/>
      </patternFill>
    </fill>
    <fill>
      <patternFill patternType="solid">
        <fgColor rgb="FFF4F4F4"/>
        <bgColor rgb="FFF9F6EF"/>
      </patternFill>
    </fill>
    <fill>
      <patternFill patternType="solid">
        <fgColor rgb="FFEAF0F6"/>
        <bgColor rgb="FFF4F4F4"/>
      </patternFill>
    </fill>
    <fill>
      <patternFill patternType="solid">
        <fgColor rgb="FFD8EAE1"/>
        <bgColor rgb="FFEAF0F6"/>
      </patternFill>
    </fill>
    <fill>
      <patternFill patternType="solid">
        <fgColor rgb="FFFFF8E7"/>
        <bgColor rgb="FFF9F6EF"/>
      </patternFill>
    </fill>
    <fill>
      <patternFill patternType="solid">
        <fgColor rgb="FFD8EAE1"/>
        <bgColor rgb="FFF4F4F4"/>
      </patternFill>
    </fill>
    <fill>
      <patternFill patternType="solid">
        <fgColor rgb="FFFEF3CD"/>
        <bgColor rgb="FF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4" fillId="6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16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0" fillId="5" borderId="0" xfId="0" applyFill="1"/>
    <xf numFmtId="164" fontId="6" fillId="8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164" fontId="15" fillId="9" borderId="0" xfId="0" applyNumberFormat="1" applyFont="1" applyFill="1" applyAlignment="1">
      <alignment horizontal="center" vertical="center"/>
    </xf>
    <xf numFmtId="0" fontId="0" fillId="6" borderId="0" xfId="0" applyFill="1"/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0" fillId="9" borderId="0" xfId="0" applyFill="1"/>
    <xf numFmtId="0" fontId="16" fillId="9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164" fontId="18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left" vertical="center"/>
    </xf>
    <xf numFmtId="0" fontId="0" fillId="10" borderId="0" xfId="0" applyFill="1"/>
    <xf numFmtId="0" fontId="10" fillId="1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0" fillId="2" borderId="0" xfId="0" applyFill="1"/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6" fillId="10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777777"/>
      <rgbColor rgb="FF9999FF"/>
      <rgbColor rgb="FF993366"/>
      <rgbColor rgb="FFFFF8E7"/>
      <rgbColor rgb="FFEAF0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D8EAE1"/>
      <rgbColor rgb="FFF9F6E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1A3A5C"/>
      <rgbColor rgb="FF339966"/>
      <rgbColor rgb="FF003300"/>
      <rgbColor rgb="FF1E4D3B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54BA-7591-5242-9ACD-47F3A6EE2C84}">
  <dimension ref="A2:J64"/>
  <sheetViews>
    <sheetView tabSelected="1" topLeftCell="A11" zoomScale="130" zoomScaleNormal="130" workbookViewId="0">
      <selection activeCell="A67" sqref="A67"/>
    </sheetView>
  </sheetViews>
  <sheetFormatPr baseColWidth="10" defaultRowHeight="15" x14ac:dyDescent="0.2"/>
  <cols>
    <col min="1" max="1" width="36" customWidth="1"/>
    <col min="2" max="2" width="9" customWidth="1"/>
    <col min="3" max="3" width="13" customWidth="1"/>
    <col min="4" max="4" width="16" customWidth="1"/>
    <col min="5" max="5" width="13" customWidth="1"/>
    <col min="6" max="6" width="26" customWidth="1"/>
    <col min="7" max="7" width="4" customWidth="1"/>
    <col min="8" max="8" width="28" customWidth="1"/>
  </cols>
  <sheetData>
    <row r="2" spans="1:10" ht="18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10" x14ac:dyDescent="0.2">
      <c r="A3" s="6" t="s">
        <v>153</v>
      </c>
      <c r="B3" s="6"/>
      <c r="C3" s="6"/>
      <c r="D3" s="6"/>
      <c r="E3" s="6"/>
      <c r="F3" s="6"/>
      <c r="G3" s="6"/>
      <c r="H3" s="6"/>
    </row>
    <row r="5" spans="1:10" x14ac:dyDescent="0.2">
      <c r="A5" s="5" t="s">
        <v>62</v>
      </c>
      <c r="B5" s="5"/>
      <c r="C5" s="5"/>
      <c r="D5" s="5"/>
      <c r="E5" s="5"/>
      <c r="F5" s="5"/>
      <c r="G5" s="5"/>
      <c r="H5" s="5"/>
    </row>
    <row r="6" spans="1:10" x14ac:dyDescent="0.2">
      <c r="A6" s="40" t="s">
        <v>63</v>
      </c>
      <c r="B6" s="8" t="s">
        <v>64</v>
      </c>
      <c r="C6" s="8" t="s">
        <v>49</v>
      </c>
      <c r="D6" s="8"/>
      <c r="E6" s="8"/>
      <c r="F6" s="8" t="s">
        <v>6</v>
      </c>
      <c r="G6" s="8"/>
      <c r="H6" s="40"/>
    </row>
    <row r="7" spans="1:10" x14ac:dyDescent="0.2">
      <c r="A7" s="56" t="s">
        <v>66</v>
      </c>
      <c r="B7" s="56" t="s">
        <v>67</v>
      </c>
      <c r="C7" s="55">
        <v>3999</v>
      </c>
      <c r="D7" s="48"/>
      <c r="E7" s="48"/>
      <c r="F7" s="58" t="s">
        <v>152</v>
      </c>
      <c r="G7" s="48"/>
      <c r="H7" s="48"/>
    </row>
    <row r="8" spans="1:10" x14ac:dyDescent="0.2">
      <c r="A8" s="56" t="s">
        <v>66</v>
      </c>
      <c r="B8" s="56" t="s">
        <v>70</v>
      </c>
      <c r="C8" s="55">
        <v>4599</v>
      </c>
      <c r="D8" s="48"/>
      <c r="E8" s="48"/>
      <c r="F8" s="58" t="s">
        <v>10</v>
      </c>
      <c r="G8" s="48"/>
      <c r="H8" s="48"/>
    </row>
    <row r="9" spans="1:10" x14ac:dyDescent="0.2">
      <c r="A9" s="32" t="s">
        <v>71</v>
      </c>
      <c r="B9" s="32" t="s">
        <v>72</v>
      </c>
      <c r="C9" s="33">
        <v>4800</v>
      </c>
      <c r="D9" s="38"/>
      <c r="E9" s="38"/>
      <c r="F9" s="39" t="s">
        <v>74</v>
      </c>
      <c r="G9" s="38"/>
      <c r="H9" s="38"/>
    </row>
    <row r="10" spans="1:10" x14ac:dyDescent="0.2">
      <c r="A10" s="9" t="s">
        <v>75</v>
      </c>
      <c r="B10" s="9" t="s">
        <v>151</v>
      </c>
      <c r="C10" s="12">
        <v>4000</v>
      </c>
      <c r="D10" s="30"/>
      <c r="E10" s="30"/>
      <c r="F10" s="9" t="s">
        <v>150</v>
      </c>
      <c r="G10" s="30"/>
      <c r="H10" s="30"/>
    </row>
    <row r="11" spans="1:10" x14ac:dyDescent="0.2">
      <c r="A11" s="13" t="s">
        <v>79</v>
      </c>
      <c r="B11" s="13" t="s">
        <v>80</v>
      </c>
      <c r="C11" s="16">
        <v>4895</v>
      </c>
      <c r="D11" s="34"/>
      <c r="E11" s="34"/>
      <c r="F11" s="13" t="s">
        <v>149</v>
      </c>
      <c r="G11" s="34"/>
      <c r="H11" s="34"/>
    </row>
    <row r="13" spans="1:10" x14ac:dyDescent="0.2">
      <c r="A13" s="5" t="s">
        <v>148</v>
      </c>
      <c r="B13" s="5"/>
      <c r="C13" s="5"/>
      <c r="D13" s="5"/>
      <c r="E13" s="5"/>
      <c r="F13" s="5"/>
      <c r="G13" s="5"/>
      <c r="H13" s="5"/>
    </row>
    <row r="14" spans="1:10" x14ac:dyDescent="0.2">
      <c r="A14" s="40" t="s">
        <v>1</v>
      </c>
      <c r="B14" s="8" t="s">
        <v>147</v>
      </c>
      <c r="C14" s="8" t="s">
        <v>3</v>
      </c>
      <c r="D14" s="8" t="s">
        <v>138</v>
      </c>
      <c r="E14" s="8" t="s">
        <v>146</v>
      </c>
      <c r="F14" s="8" t="s">
        <v>5</v>
      </c>
      <c r="G14" s="8"/>
      <c r="H14" s="40" t="s">
        <v>6</v>
      </c>
      <c r="J14" s="12"/>
    </row>
    <row r="15" spans="1:10" x14ac:dyDescent="0.2">
      <c r="A15" s="9" t="s">
        <v>7</v>
      </c>
      <c r="B15" s="10">
        <v>25</v>
      </c>
      <c r="C15" s="11" t="s">
        <v>8</v>
      </c>
      <c r="D15" s="12">
        <v>399</v>
      </c>
      <c r="E15" s="12">
        <v>499</v>
      </c>
      <c r="F15" s="9" t="s">
        <v>9</v>
      </c>
      <c r="G15" s="30"/>
      <c r="H15" s="9" t="s">
        <v>10</v>
      </c>
      <c r="J15" s="16"/>
    </row>
    <row r="16" spans="1:10" x14ac:dyDescent="0.2">
      <c r="A16" s="13" t="s">
        <v>11</v>
      </c>
      <c r="B16" s="14">
        <v>35</v>
      </c>
      <c r="C16" s="15" t="s">
        <v>8</v>
      </c>
      <c r="D16" s="16">
        <v>479</v>
      </c>
      <c r="E16" s="16">
        <v>549</v>
      </c>
      <c r="F16" s="13" t="s">
        <v>12</v>
      </c>
      <c r="G16" s="34"/>
      <c r="H16" s="13" t="s">
        <v>10</v>
      </c>
      <c r="J16" s="12"/>
    </row>
    <row r="17" spans="1:10" x14ac:dyDescent="0.2">
      <c r="A17" s="9" t="s">
        <v>13</v>
      </c>
      <c r="B17" s="10">
        <v>35</v>
      </c>
      <c r="C17" s="11" t="s">
        <v>8</v>
      </c>
      <c r="D17" s="12">
        <v>479</v>
      </c>
      <c r="E17" s="12">
        <v>549</v>
      </c>
      <c r="F17" s="9" t="s">
        <v>14</v>
      </c>
      <c r="G17" s="30"/>
      <c r="H17" s="9" t="s">
        <v>10</v>
      </c>
      <c r="J17" s="16"/>
    </row>
    <row r="18" spans="1:10" x14ac:dyDescent="0.2">
      <c r="A18" s="13" t="s">
        <v>15</v>
      </c>
      <c r="B18" s="14">
        <v>35</v>
      </c>
      <c r="C18" s="15" t="s">
        <v>8</v>
      </c>
      <c r="D18" s="16">
        <v>479</v>
      </c>
      <c r="E18" s="16">
        <v>549</v>
      </c>
      <c r="F18" s="13" t="s">
        <v>16</v>
      </c>
      <c r="G18" s="34"/>
      <c r="H18" s="13" t="s">
        <v>10</v>
      </c>
      <c r="J18" s="12"/>
    </row>
    <row r="19" spans="1:10" x14ac:dyDescent="0.2">
      <c r="A19" s="9" t="s">
        <v>17</v>
      </c>
      <c r="B19" s="10">
        <v>35</v>
      </c>
      <c r="C19" s="11" t="s">
        <v>8</v>
      </c>
      <c r="D19" s="12">
        <v>479</v>
      </c>
      <c r="E19" s="12">
        <v>549</v>
      </c>
      <c r="F19" s="9" t="s">
        <v>18</v>
      </c>
      <c r="G19" s="30"/>
      <c r="H19" s="9" t="s">
        <v>10</v>
      </c>
      <c r="J19" s="16"/>
    </row>
    <row r="20" spans="1:10" x14ac:dyDescent="0.2">
      <c r="A20" s="13" t="s">
        <v>19</v>
      </c>
      <c r="B20" s="14">
        <v>25</v>
      </c>
      <c r="C20" s="15" t="s">
        <v>8</v>
      </c>
      <c r="D20" s="16">
        <v>399</v>
      </c>
      <c r="E20" s="16">
        <v>499</v>
      </c>
      <c r="F20" s="13" t="s">
        <v>20</v>
      </c>
      <c r="G20" s="34"/>
      <c r="H20" s="13" t="s">
        <v>10</v>
      </c>
      <c r="J20" s="12"/>
    </row>
    <row r="21" spans="1:10" x14ac:dyDescent="0.2">
      <c r="A21" s="9" t="s">
        <v>21</v>
      </c>
      <c r="B21" s="10">
        <v>25</v>
      </c>
      <c r="C21" s="11" t="s">
        <v>8</v>
      </c>
      <c r="D21" s="12">
        <v>399</v>
      </c>
      <c r="E21" s="12">
        <v>499</v>
      </c>
      <c r="F21" s="9" t="s">
        <v>22</v>
      </c>
      <c r="G21" s="30"/>
      <c r="H21" s="9" t="s">
        <v>23</v>
      </c>
    </row>
    <row r="22" spans="1:10" x14ac:dyDescent="0.2">
      <c r="A22" s="47" t="s">
        <v>24</v>
      </c>
      <c r="B22" s="49">
        <v>25</v>
      </c>
      <c r="C22" s="50" t="s">
        <v>25</v>
      </c>
      <c r="D22" s="49" t="s">
        <v>26</v>
      </c>
      <c r="E22" s="49" t="s">
        <v>26</v>
      </c>
      <c r="F22" s="47" t="s">
        <v>27</v>
      </c>
      <c r="G22" s="48"/>
      <c r="H22" s="47" t="s">
        <v>28</v>
      </c>
    </row>
    <row r="23" spans="1:10" x14ac:dyDescent="0.2">
      <c r="A23" s="56" t="s">
        <v>145</v>
      </c>
      <c r="B23" s="57">
        <f>B15+B16+B17+B18+B19+B20+B21+B22</f>
        <v>240</v>
      </c>
      <c r="C23" s="48"/>
      <c r="D23" s="55">
        <v>3113</v>
      </c>
      <c r="E23" s="55">
        <v>3693</v>
      </c>
      <c r="F23" s="48"/>
      <c r="G23" s="48"/>
      <c r="H23" s="48"/>
    </row>
    <row r="25" spans="1:10" x14ac:dyDescent="0.2">
      <c r="A25" s="42" t="s">
        <v>84</v>
      </c>
      <c r="B25" s="42"/>
      <c r="C25" s="42"/>
      <c r="D25" s="42"/>
      <c r="E25" s="42"/>
      <c r="F25" s="42"/>
      <c r="G25" s="42"/>
      <c r="H25" s="42"/>
    </row>
    <row r="26" spans="1:10" x14ac:dyDescent="0.2">
      <c r="A26" s="9" t="s">
        <v>29</v>
      </c>
      <c r="B26" s="10">
        <v>15</v>
      </c>
      <c r="C26" s="11" t="s">
        <v>8</v>
      </c>
      <c r="D26" s="12">
        <v>349</v>
      </c>
      <c r="E26" s="12">
        <v>399</v>
      </c>
      <c r="F26" s="9" t="s">
        <v>30</v>
      </c>
      <c r="G26" s="30"/>
      <c r="H26" s="9" t="s">
        <v>10</v>
      </c>
    </row>
    <row r="27" spans="1:10" x14ac:dyDescent="0.2">
      <c r="A27" s="13" t="s">
        <v>31</v>
      </c>
      <c r="B27" s="14">
        <v>15</v>
      </c>
      <c r="C27" s="15" t="s">
        <v>8</v>
      </c>
      <c r="D27" s="16">
        <v>349</v>
      </c>
      <c r="E27" s="16">
        <v>399</v>
      </c>
      <c r="F27" s="13" t="s">
        <v>32</v>
      </c>
      <c r="G27" s="34"/>
      <c r="H27" s="13" t="s">
        <v>10</v>
      </c>
    </row>
    <row r="28" spans="1:10" x14ac:dyDescent="0.2">
      <c r="A28" s="9" t="s">
        <v>33</v>
      </c>
      <c r="B28" s="10">
        <v>15</v>
      </c>
      <c r="C28" s="11" t="s">
        <v>8</v>
      </c>
      <c r="D28" s="12">
        <v>349</v>
      </c>
      <c r="E28" s="12">
        <v>399</v>
      </c>
      <c r="F28" s="9" t="s">
        <v>34</v>
      </c>
      <c r="G28" s="30"/>
      <c r="H28" s="9" t="s">
        <v>35</v>
      </c>
    </row>
    <row r="29" spans="1:10" x14ac:dyDescent="0.2">
      <c r="A29" s="13" t="s">
        <v>36</v>
      </c>
      <c r="B29" s="14">
        <v>15</v>
      </c>
      <c r="C29" s="15" t="s">
        <v>8</v>
      </c>
      <c r="D29" s="16">
        <v>349</v>
      </c>
      <c r="E29" s="16">
        <v>399</v>
      </c>
      <c r="F29" s="13" t="s">
        <v>37</v>
      </c>
      <c r="G29" s="34"/>
      <c r="H29" s="13" t="s">
        <v>10</v>
      </c>
    </row>
    <row r="30" spans="1:10" x14ac:dyDescent="0.2">
      <c r="A30" s="9" t="s">
        <v>38</v>
      </c>
      <c r="B30" s="10">
        <v>15</v>
      </c>
      <c r="C30" s="11" t="s">
        <v>8</v>
      </c>
      <c r="D30" s="12">
        <v>349</v>
      </c>
      <c r="E30" s="12">
        <v>399</v>
      </c>
      <c r="F30" s="9" t="s">
        <v>39</v>
      </c>
      <c r="G30" s="30"/>
      <c r="H30" s="9" t="s">
        <v>40</v>
      </c>
    </row>
    <row r="31" spans="1:10" x14ac:dyDescent="0.2">
      <c r="A31" s="56" t="s">
        <v>144</v>
      </c>
      <c r="B31" s="48"/>
      <c r="C31" s="48"/>
      <c r="D31" s="55">
        <v>698</v>
      </c>
      <c r="E31" s="55">
        <v>798</v>
      </c>
      <c r="F31" s="48"/>
      <c r="G31" s="48"/>
      <c r="H31" s="48"/>
    </row>
    <row r="32" spans="1:10" x14ac:dyDescent="0.2">
      <c r="A32" s="54" t="s">
        <v>143</v>
      </c>
      <c r="B32" s="52"/>
      <c r="C32" s="52"/>
      <c r="D32" s="53">
        <v>3811</v>
      </c>
      <c r="E32" s="53">
        <v>4491</v>
      </c>
      <c r="F32" s="52"/>
      <c r="G32" s="52"/>
      <c r="H32" s="51" t="s">
        <v>142</v>
      </c>
    </row>
    <row r="34" spans="1:8" x14ac:dyDescent="0.2">
      <c r="A34" s="47" t="s">
        <v>41</v>
      </c>
      <c r="B34" s="49">
        <v>20</v>
      </c>
      <c r="C34" s="50" t="s">
        <v>25</v>
      </c>
      <c r="D34" s="49" t="s">
        <v>42</v>
      </c>
      <c r="E34" s="49" t="s">
        <v>26</v>
      </c>
      <c r="F34" s="47" t="s">
        <v>43</v>
      </c>
      <c r="G34" s="48"/>
      <c r="H34" s="47" t="s">
        <v>44</v>
      </c>
    </row>
    <row r="35" spans="1:8" x14ac:dyDescent="0.2">
      <c r="A35" s="47" t="s">
        <v>45</v>
      </c>
      <c r="B35" s="49">
        <v>10</v>
      </c>
      <c r="C35" s="50" t="s">
        <v>25</v>
      </c>
      <c r="D35" s="49" t="s">
        <v>42</v>
      </c>
      <c r="E35" s="49" t="s">
        <v>26</v>
      </c>
      <c r="F35" s="47" t="s">
        <v>46</v>
      </c>
      <c r="G35" s="48"/>
      <c r="H35" s="47" t="s">
        <v>44</v>
      </c>
    </row>
    <row r="36" spans="1:8" x14ac:dyDescent="0.2">
      <c r="A36" s="3" t="s">
        <v>141</v>
      </c>
      <c r="B36" s="3"/>
      <c r="C36" s="3"/>
      <c r="D36" s="3"/>
      <c r="E36" s="3"/>
      <c r="F36" s="3"/>
      <c r="G36" s="3"/>
      <c r="H36" s="3"/>
    </row>
    <row r="38" spans="1:8" x14ac:dyDescent="0.2">
      <c r="A38" s="5" t="s">
        <v>140</v>
      </c>
      <c r="B38" s="5"/>
      <c r="C38" s="5"/>
      <c r="D38" s="5"/>
      <c r="E38" s="5"/>
      <c r="F38" s="5"/>
      <c r="G38" s="5"/>
      <c r="H38" s="5"/>
    </row>
    <row r="39" spans="1:8" ht="57" customHeight="1" x14ac:dyDescent="0.2">
      <c r="A39" s="46" t="s">
        <v>139</v>
      </c>
      <c r="B39" s="46"/>
      <c r="C39" s="46"/>
      <c r="D39" s="46"/>
      <c r="E39" s="46"/>
      <c r="F39" s="46"/>
      <c r="G39" s="46"/>
      <c r="H39" s="46"/>
    </row>
    <row r="40" spans="1:8" x14ac:dyDescent="0.2">
      <c r="A40" s="40"/>
      <c r="B40" s="8" t="s">
        <v>138</v>
      </c>
      <c r="C40" s="8" t="s">
        <v>137</v>
      </c>
      <c r="D40" s="8"/>
      <c r="E40" s="8" t="s">
        <v>136</v>
      </c>
      <c r="F40" s="8"/>
      <c r="G40" s="8"/>
      <c r="H40" s="40"/>
    </row>
    <row r="41" spans="1:8" x14ac:dyDescent="0.2">
      <c r="A41" s="45" t="s">
        <v>135</v>
      </c>
      <c r="B41" s="44">
        <v>549</v>
      </c>
      <c r="C41" s="44">
        <v>750</v>
      </c>
      <c r="D41" s="30"/>
      <c r="E41" s="43" t="s">
        <v>134</v>
      </c>
      <c r="F41" s="30"/>
      <c r="G41" s="30"/>
      <c r="H41" s="30"/>
    </row>
    <row r="43" spans="1:8" x14ac:dyDescent="0.2">
      <c r="A43" s="42" t="s">
        <v>133</v>
      </c>
      <c r="B43" s="42"/>
      <c r="C43" s="42"/>
      <c r="D43" s="42"/>
      <c r="E43" s="42"/>
      <c r="F43" s="42"/>
      <c r="G43" s="42"/>
      <c r="H43" s="42"/>
    </row>
    <row r="44" spans="1:8" x14ac:dyDescent="0.2">
      <c r="A44" s="9" t="s">
        <v>132</v>
      </c>
      <c r="B44" s="10" t="s">
        <v>131</v>
      </c>
      <c r="C44" s="30"/>
      <c r="D44" s="30"/>
      <c r="E44" s="41" t="s">
        <v>10</v>
      </c>
      <c r="F44" s="30"/>
      <c r="G44" s="30"/>
      <c r="H44" s="30"/>
    </row>
    <row r="45" spans="1:8" x14ac:dyDescent="0.2">
      <c r="A45" s="13" t="s">
        <v>130</v>
      </c>
      <c r="B45" s="14" t="s">
        <v>129</v>
      </c>
      <c r="C45" s="34"/>
      <c r="D45" s="34"/>
      <c r="E45" s="25" t="s">
        <v>10</v>
      </c>
      <c r="F45" s="34"/>
      <c r="G45" s="34"/>
      <c r="H45" s="34"/>
    </row>
    <row r="46" spans="1:8" x14ac:dyDescent="0.2">
      <c r="A46" s="28" t="s">
        <v>128</v>
      </c>
      <c r="B46" s="11" t="s">
        <v>127</v>
      </c>
      <c r="C46" s="30"/>
      <c r="D46" s="30"/>
      <c r="E46" s="41" t="s">
        <v>126</v>
      </c>
      <c r="F46" s="30"/>
      <c r="G46" s="30"/>
      <c r="H46" s="30"/>
    </row>
    <row r="48" spans="1:8" x14ac:dyDescent="0.2">
      <c r="A48" s="5" t="s">
        <v>125</v>
      </c>
      <c r="B48" s="5"/>
      <c r="C48" s="5"/>
      <c r="D48" s="5"/>
      <c r="E48" s="5"/>
      <c r="F48" s="5"/>
      <c r="G48" s="5"/>
      <c r="H48" s="5"/>
    </row>
    <row r="49" spans="1:8" x14ac:dyDescent="0.2">
      <c r="A49" s="40" t="s">
        <v>48</v>
      </c>
      <c r="B49" s="8" t="s">
        <v>49</v>
      </c>
      <c r="C49" s="8" t="s">
        <v>50</v>
      </c>
      <c r="D49" s="8"/>
      <c r="E49" s="8" t="s">
        <v>51</v>
      </c>
      <c r="F49" s="8" t="s">
        <v>124</v>
      </c>
      <c r="G49" s="8"/>
      <c r="H49" s="40" t="s">
        <v>6</v>
      </c>
    </row>
    <row r="50" spans="1:8" x14ac:dyDescent="0.2">
      <c r="A50" s="32" t="s">
        <v>123</v>
      </c>
      <c r="B50" s="33">
        <v>3995</v>
      </c>
      <c r="C50" s="33">
        <v>3995</v>
      </c>
      <c r="D50" s="38"/>
      <c r="E50" s="39" t="s">
        <v>53</v>
      </c>
      <c r="F50" s="33">
        <v>365</v>
      </c>
      <c r="G50" s="38"/>
      <c r="H50" s="37" t="s">
        <v>122</v>
      </c>
    </row>
    <row r="51" spans="1:8" x14ac:dyDescent="0.2">
      <c r="A51" s="13" t="s">
        <v>54</v>
      </c>
      <c r="B51" s="16">
        <v>4495</v>
      </c>
      <c r="C51" s="16">
        <v>4495</v>
      </c>
      <c r="D51" s="34"/>
      <c r="E51" s="13" t="s">
        <v>53</v>
      </c>
      <c r="F51" s="16">
        <v>746</v>
      </c>
      <c r="G51" s="34"/>
      <c r="H51" s="35" t="s">
        <v>121</v>
      </c>
    </row>
    <row r="52" spans="1:8" x14ac:dyDescent="0.2">
      <c r="A52" s="9" t="s">
        <v>55</v>
      </c>
      <c r="B52" s="12">
        <v>4695</v>
      </c>
      <c r="C52" s="12">
        <v>995</v>
      </c>
      <c r="D52" s="30"/>
      <c r="E52" s="9" t="s">
        <v>120</v>
      </c>
      <c r="F52" s="12">
        <v>546</v>
      </c>
      <c r="G52" s="30"/>
      <c r="H52" s="36" t="s">
        <v>90</v>
      </c>
    </row>
    <row r="53" spans="1:8" x14ac:dyDescent="0.2">
      <c r="A53" s="13" t="s">
        <v>56</v>
      </c>
      <c r="B53" s="16">
        <v>4895</v>
      </c>
      <c r="C53" s="16">
        <v>995</v>
      </c>
      <c r="D53" s="34"/>
      <c r="E53" s="13" t="s">
        <v>119</v>
      </c>
      <c r="F53" s="16">
        <v>346</v>
      </c>
      <c r="G53" s="34"/>
      <c r="H53" s="35" t="s">
        <v>57</v>
      </c>
    </row>
    <row r="55" spans="1:8" x14ac:dyDescent="0.2">
      <c r="A55" s="25" t="s">
        <v>118</v>
      </c>
      <c r="B55" s="26">
        <v>5241</v>
      </c>
      <c r="C55" s="34"/>
      <c r="D55" s="34"/>
      <c r="E55" s="34"/>
      <c r="F55" s="34"/>
      <c r="G55" s="34"/>
      <c r="H55" s="34"/>
    </row>
    <row r="56" spans="1:8" x14ac:dyDescent="0.2">
      <c r="A56" s="25" t="s">
        <v>117</v>
      </c>
      <c r="B56" s="26">
        <v>4360</v>
      </c>
      <c r="C56" s="34"/>
      <c r="D56" s="34"/>
      <c r="E56" s="34"/>
      <c r="F56" s="34"/>
      <c r="G56" s="34"/>
      <c r="H56" s="34"/>
    </row>
    <row r="58" spans="1:8" x14ac:dyDescent="0.2">
      <c r="A58" s="5" t="s">
        <v>116</v>
      </c>
      <c r="B58" s="5"/>
      <c r="C58" s="5"/>
      <c r="D58" s="5"/>
      <c r="E58" s="5"/>
      <c r="F58" s="5"/>
      <c r="G58" s="5"/>
      <c r="H58" s="5"/>
    </row>
    <row r="59" spans="1:8" ht="31" customHeight="1" x14ac:dyDescent="0.2">
      <c r="A59" s="28" t="s">
        <v>115</v>
      </c>
      <c r="B59" s="2" t="s">
        <v>114</v>
      </c>
      <c r="C59" s="2"/>
      <c r="D59" s="2"/>
      <c r="E59" s="2"/>
      <c r="F59" s="2"/>
      <c r="G59" s="2"/>
      <c r="H59" s="2"/>
    </row>
    <row r="60" spans="1:8" ht="31" customHeight="1" x14ac:dyDescent="0.2">
      <c r="A60" s="29" t="s">
        <v>113</v>
      </c>
      <c r="B60" s="1" t="s">
        <v>112</v>
      </c>
      <c r="C60" s="1"/>
      <c r="D60" s="1"/>
      <c r="E60" s="1"/>
      <c r="F60" s="1"/>
      <c r="G60" s="1"/>
      <c r="H60" s="1"/>
    </row>
    <row r="61" spans="1:8" ht="31" customHeight="1" x14ac:dyDescent="0.2">
      <c r="A61" s="28" t="s">
        <v>99</v>
      </c>
      <c r="B61" s="2" t="s">
        <v>111</v>
      </c>
      <c r="C61" s="2"/>
      <c r="D61" s="2"/>
      <c r="E61" s="2"/>
      <c r="F61" s="2"/>
      <c r="G61" s="2"/>
      <c r="H61" s="2"/>
    </row>
    <row r="62" spans="1:8" ht="31" customHeight="1" x14ac:dyDescent="0.2">
      <c r="A62" s="29" t="s">
        <v>110</v>
      </c>
      <c r="B62" s="1" t="s">
        <v>109</v>
      </c>
      <c r="C62" s="1"/>
      <c r="D62" s="1"/>
      <c r="E62" s="1"/>
      <c r="F62" s="1"/>
      <c r="G62" s="1"/>
      <c r="H62" s="1"/>
    </row>
    <row r="63" spans="1:8" ht="31" customHeight="1" x14ac:dyDescent="0.2">
      <c r="A63" s="28" t="s">
        <v>60</v>
      </c>
      <c r="B63" s="2" t="s">
        <v>108</v>
      </c>
      <c r="C63" s="2"/>
      <c r="D63" s="2"/>
      <c r="E63" s="2"/>
      <c r="F63" s="2"/>
      <c r="G63" s="2"/>
      <c r="H63" s="2"/>
    </row>
    <row r="64" spans="1:8" ht="31" customHeight="1" x14ac:dyDescent="0.2">
      <c r="A64" s="29" t="s">
        <v>107</v>
      </c>
      <c r="B64" s="1" t="s">
        <v>106</v>
      </c>
      <c r="C64" s="1"/>
      <c r="D64" s="1"/>
      <c r="E64" s="1"/>
      <c r="F64" s="1"/>
      <c r="G64" s="1"/>
      <c r="H64" s="1"/>
    </row>
  </sheetData>
  <mergeCells count="17">
    <mergeCell ref="A36:H36"/>
    <mergeCell ref="A38:H38"/>
    <mergeCell ref="A39:H39"/>
    <mergeCell ref="A43:H43"/>
    <mergeCell ref="A48:H48"/>
    <mergeCell ref="A2:H2"/>
    <mergeCell ref="A3:H3"/>
    <mergeCell ref="A5:H5"/>
    <mergeCell ref="A13:H13"/>
    <mergeCell ref="A25:H25"/>
    <mergeCell ref="B63:H63"/>
    <mergeCell ref="B64:H64"/>
    <mergeCell ref="A58:H58"/>
    <mergeCell ref="B59:H59"/>
    <mergeCell ref="B60:H60"/>
    <mergeCell ref="B61:H61"/>
    <mergeCell ref="B62:H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6C00-9928-0F4A-941F-4DE2FF16DDD7}">
  <dimension ref="A2:G50"/>
  <sheetViews>
    <sheetView workbookViewId="0">
      <selection activeCell="J14" sqref="J14"/>
    </sheetView>
  </sheetViews>
  <sheetFormatPr baseColWidth="10" defaultRowHeight="15" x14ac:dyDescent="0.2"/>
  <cols>
    <col min="1" max="1" width="36" customWidth="1"/>
    <col min="2" max="2" width="10" customWidth="1"/>
    <col min="3" max="4" width="14" customWidth="1"/>
    <col min="5" max="5" width="22" customWidth="1"/>
    <col min="6" max="6" width="14" customWidth="1"/>
    <col min="7" max="7" width="20" customWidth="1"/>
  </cols>
  <sheetData>
    <row r="2" spans="1:7" ht="18" x14ac:dyDescent="0.2">
      <c r="A2" s="7" t="s">
        <v>0</v>
      </c>
      <c r="B2" s="7"/>
      <c r="C2" s="7"/>
      <c r="D2" s="7"/>
      <c r="E2" s="7"/>
      <c r="F2" s="7"/>
      <c r="G2" s="7"/>
    </row>
    <row r="3" spans="1:7" x14ac:dyDescent="0.2">
      <c r="A3" s="6" t="s">
        <v>61</v>
      </c>
      <c r="B3" s="6"/>
      <c r="C3" s="6"/>
      <c r="D3" s="6"/>
      <c r="E3" s="6"/>
      <c r="F3" s="6"/>
      <c r="G3" s="6"/>
    </row>
    <row r="5" spans="1:7" x14ac:dyDescent="0.2">
      <c r="A5" s="5" t="s">
        <v>62</v>
      </c>
      <c r="B5" s="5"/>
      <c r="C5" s="5"/>
      <c r="D5" s="5"/>
      <c r="E5" s="5"/>
      <c r="F5" s="5"/>
      <c r="G5" s="5"/>
    </row>
    <row r="6" spans="1:7" x14ac:dyDescent="0.2">
      <c r="A6" s="8" t="s">
        <v>63</v>
      </c>
      <c r="B6" s="8" t="s">
        <v>64</v>
      </c>
      <c r="C6" s="8" t="s">
        <v>49</v>
      </c>
      <c r="D6" s="8" t="s">
        <v>65</v>
      </c>
      <c r="E6" s="8" t="s">
        <v>6</v>
      </c>
      <c r="F6" s="8"/>
      <c r="G6" s="8"/>
    </row>
    <row r="7" spans="1:7" x14ac:dyDescent="0.2">
      <c r="A7" s="21" t="s">
        <v>66</v>
      </c>
      <c r="B7" s="21" t="s">
        <v>67</v>
      </c>
      <c r="C7" s="31">
        <v>3999</v>
      </c>
      <c r="D7" s="21" t="s">
        <v>68</v>
      </c>
      <c r="E7" s="21" t="s">
        <v>69</v>
      </c>
      <c r="F7" s="21"/>
      <c r="G7" s="21"/>
    </row>
    <row r="8" spans="1:7" x14ac:dyDescent="0.2">
      <c r="A8" s="21" t="s">
        <v>66</v>
      </c>
      <c r="B8" s="21" t="s">
        <v>70</v>
      </c>
      <c r="C8" s="31">
        <v>4599</v>
      </c>
      <c r="D8" s="21" t="s">
        <v>68</v>
      </c>
      <c r="E8" s="21" t="s">
        <v>10</v>
      </c>
      <c r="F8" s="21"/>
      <c r="G8" s="21"/>
    </row>
    <row r="9" spans="1:7" x14ac:dyDescent="0.2">
      <c r="A9" s="32" t="s">
        <v>71</v>
      </c>
      <c r="B9" s="32" t="s">
        <v>72</v>
      </c>
      <c r="C9" s="33">
        <v>4800</v>
      </c>
      <c r="D9" s="32" t="s">
        <v>73</v>
      </c>
      <c r="E9" s="32" t="s">
        <v>74</v>
      </c>
      <c r="F9" s="32"/>
      <c r="G9" s="32"/>
    </row>
    <row r="10" spans="1:7" x14ac:dyDescent="0.2">
      <c r="A10" s="13" t="s">
        <v>75</v>
      </c>
      <c r="B10" s="13" t="s">
        <v>76</v>
      </c>
      <c r="C10" s="16">
        <v>4000</v>
      </c>
      <c r="D10" s="13" t="s">
        <v>77</v>
      </c>
      <c r="E10" s="13" t="s">
        <v>78</v>
      </c>
      <c r="F10" s="13"/>
      <c r="G10" s="13"/>
    </row>
    <row r="11" spans="1:7" x14ac:dyDescent="0.2">
      <c r="A11" s="9" t="s">
        <v>79</v>
      </c>
      <c r="B11" s="9" t="s">
        <v>80</v>
      </c>
      <c r="C11" s="12">
        <v>4895</v>
      </c>
      <c r="D11" s="9" t="s">
        <v>81</v>
      </c>
      <c r="E11" s="9" t="s">
        <v>82</v>
      </c>
      <c r="F11" s="9"/>
      <c r="G11" s="9"/>
    </row>
    <row r="13" spans="1:7" x14ac:dyDescent="0.2">
      <c r="A13" s="5" t="s">
        <v>83</v>
      </c>
      <c r="B13" s="5"/>
      <c r="C13" s="5"/>
      <c r="D13" s="5"/>
      <c r="E13" s="5"/>
      <c r="F13" s="5"/>
      <c r="G13" s="5"/>
    </row>
    <row r="14" spans="1:7" x14ac:dyDescent="0.2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/>
      <c r="G14" s="8" t="s">
        <v>6</v>
      </c>
    </row>
    <row r="15" spans="1:7" x14ac:dyDescent="0.2">
      <c r="A15" s="9" t="s">
        <v>7</v>
      </c>
      <c r="B15" s="10">
        <v>25</v>
      </c>
      <c r="C15" s="11" t="s">
        <v>8</v>
      </c>
      <c r="D15" s="12">
        <v>525</v>
      </c>
      <c r="E15" s="9" t="s">
        <v>9</v>
      </c>
      <c r="F15" s="9"/>
      <c r="G15" s="9" t="s">
        <v>10</v>
      </c>
    </row>
    <row r="16" spans="1:7" x14ac:dyDescent="0.2">
      <c r="A16" s="13" t="s">
        <v>11</v>
      </c>
      <c r="B16" s="14">
        <v>35</v>
      </c>
      <c r="C16" s="15" t="s">
        <v>8</v>
      </c>
      <c r="D16" s="16">
        <v>695</v>
      </c>
      <c r="E16" s="13" t="s">
        <v>12</v>
      </c>
      <c r="F16" s="13"/>
      <c r="G16" s="13" t="s">
        <v>10</v>
      </c>
    </row>
    <row r="17" spans="1:7" x14ac:dyDescent="0.2">
      <c r="A17" s="9" t="s">
        <v>13</v>
      </c>
      <c r="B17" s="10">
        <v>35</v>
      </c>
      <c r="C17" s="11" t="s">
        <v>8</v>
      </c>
      <c r="D17" s="12">
        <v>695</v>
      </c>
      <c r="E17" s="9" t="s">
        <v>14</v>
      </c>
      <c r="F17" s="9"/>
      <c r="G17" s="9" t="s">
        <v>10</v>
      </c>
    </row>
    <row r="18" spans="1:7" x14ac:dyDescent="0.2">
      <c r="A18" s="13" t="s">
        <v>15</v>
      </c>
      <c r="B18" s="14">
        <v>35</v>
      </c>
      <c r="C18" s="15" t="s">
        <v>8</v>
      </c>
      <c r="D18" s="16">
        <v>695</v>
      </c>
      <c r="E18" s="13" t="s">
        <v>16</v>
      </c>
      <c r="F18" s="13"/>
      <c r="G18" s="13" t="s">
        <v>10</v>
      </c>
    </row>
    <row r="19" spans="1:7" x14ac:dyDescent="0.2">
      <c r="A19" s="9" t="s">
        <v>17</v>
      </c>
      <c r="B19" s="10">
        <v>35</v>
      </c>
      <c r="C19" s="11" t="s">
        <v>8</v>
      </c>
      <c r="D19" s="12">
        <v>695</v>
      </c>
      <c r="E19" s="9" t="s">
        <v>18</v>
      </c>
      <c r="F19" s="9"/>
      <c r="G19" s="9" t="s">
        <v>10</v>
      </c>
    </row>
    <row r="20" spans="1:7" x14ac:dyDescent="0.2">
      <c r="A20" s="13" t="s">
        <v>19</v>
      </c>
      <c r="B20" s="14">
        <v>25</v>
      </c>
      <c r="C20" s="15" t="s">
        <v>8</v>
      </c>
      <c r="D20" s="16">
        <v>525</v>
      </c>
      <c r="E20" s="13" t="s">
        <v>20</v>
      </c>
      <c r="F20" s="13"/>
      <c r="G20" s="13" t="s">
        <v>10</v>
      </c>
    </row>
    <row r="21" spans="1:7" x14ac:dyDescent="0.2">
      <c r="A21" s="9" t="s">
        <v>21</v>
      </c>
      <c r="B21" s="10">
        <v>25</v>
      </c>
      <c r="C21" s="11" t="s">
        <v>8</v>
      </c>
      <c r="D21" s="12">
        <v>525</v>
      </c>
      <c r="E21" s="9" t="s">
        <v>22</v>
      </c>
      <c r="F21" s="9"/>
      <c r="G21" s="9" t="s">
        <v>23</v>
      </c>
    </row>
    <row r="22" spans="1:7" x14ac:dyDescent="0.2">
      <c r="A22" s="17" t="s">
        <v>24</v>
      </c>
      <c r="B22" s="18">
        <v>25</v>
      </c>
      <c r="C22" s="19" t="s">
        <v>25</v>
      </c>
      <c r="D22" s="20" t="s">
        <v>26</v>
      </c>
      <c r="E22" s="17" t="s">
        <v>27</v>
      </c>
      <c r="F22" s="17"/>
      <c r="G22" s="17" t="s">
        <v>28</v>
      </c>
    </row>
    <row r="24" spans="1:7" x14ac:dyDescent="0.2">
      <c r="A24" s="4" t="s">
        <v>84</v>
      </c>
      <c r="B24" s="4"/>
      <c r="C24" s="4"/>
      <c r="D24" s="4"/>
      <c r="E24" s="4"/>
      <c r="F24" s="4"/>
      <c r="G24" s="4"/>
    </row>
    <row r="25" spans="1:7" x14ac:dyDescent="0.2">
      <c r="A25" s="9" t="s">
        <v>29</v>
      </c>
      <c r="B25" s="10">
        <v>15</v>
      </c>
      <c r="C25" s="11" t="s">
        <v>8</v>
      </c>
      <c r="D25" s="12">
        <v>325</v>
      </c>
      <c r="E25" s="9" t="s">
        <v>30</v>
      </c>
      <c r="F25" s="9"/>
      <c r="G25" s="9" t="s">
        <v>10</v>
      </c>
    </row>
    <row r="26" spans="1:7" x14ac:dyDescent="0.2">
      <c r="A26" s="13" t="s">
        <v>31</v>
      </c>
      <c r="B26" s="14">
        <v>15</v>
      </c>
      <c r="C26" s="15" t="s">
        <v>8</v>
      </c>
      <c r="D26" s="16">
        <v>325</v>
      </c>
      <c r="E26" s="13" t="s">
        <v>32</v>
      </c>
      <c r="F26" s="13"/>
      <c r="G26" s="13" t="s">
        <v>10</v>
      </c>
    </row>
    <row r="27" spans="1:7" x14ac:dyDescent="0.2">
      <c r="A27" s="9" t="s">
        <v>33</v>
      </c>
      <c r="B27" s="10">
        <v>15</v>
      </c>
      <c r="C27" s="11" t="s">
        <v>8</v>
      </c>
      <c r="D27" s="12">
        <v>325</v>
      </c>
      <c r="E27" s="9" t="s">
        <v>34</v>
      </c>
      <c r="F27" s="9"/>
      <c r="G27" s="9" t="s">
        <v>35</v>
      </c>
    </row>
    <row r="28" spans="1:7" x14ac:dyDescent="0.2">
      <c r="A28" s="13" t="s">
        <v>36</v>
      </c>
      <c r="B28" s="14">
        <v>15</v>
      </c>
      <c r="C28" s="15" t="s">
        <v>8</v>
      </c>
      <c r="D28" s="16">
        <v>325</v>
      </c>
      <c r="E28" s="13" t="s">
        <v>37</v>
      </c>
      <c r="F28" s="13"/>
      <c r="G28" s="13" t="s">
        <v>10</v>
      </c>
    </row>
    <row r="29" spans="1:7" x14ac:dyDescent="0.2">
      <c r="A29" s="9" t="s">
        <v>38</v>
      </c>
      <c r="B29" s="10">
        <v>15</v>
      </c>
      <c r="C29" s="11" t="s">
        <v>8</v>
      </c>
      <c r="D29" s="12">
        <v>325</v>
      </c>
      <c r="E29" s="9" t="s">
        <v>39</v>
      </c>
      <c r="F29" s="9"/>
      <c r="G29" s="9" t="s">
        <v>40</v>
      </c>
    </row>
    <row r="31" spans="1:7" x14ac:dyDescent="0.2">
      <c r="A31" s="22" t="s">
        <v>41</v>
      </c>
      <c r="B31" s="23">
        <v>20</v>
      </c>
      <c r="C31" s="24" t="s">
        <v>25</v>
      </c>
      <c r="D31" s="23" t="s">
        <v>42</v>
      </c>
      <c r="E31" s="22" t="s">
        <v>43</v>
      </c>
      <c r="F31" s="22"/>
      <c r="G31" s="22" t="s">
        <v>44</v>
      </c>
    </row>
    <row r="32" spans="1:7" x14ac:dyDescent="0.2">
      <c r="A32" s="22" t="s">
        <v>45</v>
      </c>
      <c r="B32" s="23">
        <v>10</v>
      </c>
      <c r="C32" s="24" t="s">
        <v>25</v>
      </c>
      <c r="D32" s="23" t="s">
        <v>42</v>
      </c>
      <c r="E32" s="22" t="s">
        <v>46</v>
      </c>
      <c r="F32" s="22"/>
      <c r="G32" s="22" t="s">
        <v>44</v>
      </c>
    </row>
    <row r="33" spans="1:7" x14ac:dyDescent="0.2">
      <c r="A33" s="3" t="s">
        <v>47</v>
      </c>
      <c r="B33" s="3"/>
      <c r="C33" s="3"/>
      <c r="D33" s="3"/>
      <c r="E33" s="3"/>
      <c r="F33" s="3"/>
      <c r="G33" s="3"/>
    </row>
    <row r="35" spans="1:7" x14ac:dyDescent="0.2">
      <c r="A35" s="5" t="s">
        <v>85</v>
      </c>
      <c r="B35" s="5"/>
      <c r="C35" s="5"/>
      <c r="D35" s="5"/>
      <c r="E35" s="5"/>
      <c r="F35" s="5"/>
      <c r="G35" s="5"/>
    </row>
    <row r="36" spans="1:7" x14ac:dyDescent="0.2">
      <c r="A36" s="8" t="s">
        <v>48</v>
      </c>
      <c r="B36" s="8" t="s">
        <v>49</v>
      </c>
      <c r="C36" s="8" t="s">
        <v>50</v>
      </c>
      <c r="D36" s="8" t="s">
        <v>51</v>
      </c>
      <c r="E36" s="8" t="s">
        <v>52</v>
      </c>
      <c r="F36" s="8"/>
      <c r="G36" s="8" t="s">
        <v>6</v>
      </c>
    </row>
    <row r="37" spans="1:7" x14ac:dyDescent="0.2">
      <c r="A37" s="32" t="s">
        <v>86</v>
      </c>
      <c r="B37" s="33">
        <v>4495</v>
      </c>
      <c r="C37" s="33">
        <v>4495</v>
      </c>
      <c r="D37" s="32" t="s">
        <v>53</v>
      </c>
      <c r="E37" s="33">
        <v>510</v>
      </c>
      <c r="F37" s="32"/>
      <c r="G37" s="32" t="s">
        <v>87</v>
      </c>
    </row>
    <row r="38" spans="1:7" x14ac:dyDescent="0.2">
      <c r="A38" s="13" t="s">
        <v>54</v>
      </c>
      <c r="B38" s="16">
        <v>4795</v>
      </c>
      <c r="C38" s="16">
        <v>4795</v>
      </c>
      <c r="D38" s="13" t="s">
        <v>53</v>
      </c>
      <c r="E38" s="16">
        <v>210</v>
      </c>
      <c r="F38" s="13"/>
      <c r="G38" s="13" t="s">
        <v>88</v>
      </c>
    </row>
    <row r="39" spans="1:7" x14ac:dyDescent="0.2">
      <c r="A39" s="9" t="s">
        <v>55</v>
      </c>
      <c r="B39" s="12">
        <v>4995</v>
      </c>
      <c r="C39" s="12">
        <v>995</v>
      </c>
      <c r="D39" s="9" t="s">
        <v>89</v>
      </c>
      <c r="E39" s="12">
        <v>10</v>
      </c>
      <c r="F39" s="9"/>
      <c r="G39" s="9" t="s">
        <v>90</v>
      </c>
    </row>
    <row r="40" spans="1:7" x14ac:dyDescent="0.2">
      <c r="A40" s="13" t="s">
        <v>56</v>
      </c>
      <c r="B40" s="16">
        <v>5195</v>
      </c>
      <c r="C40" s="16">
        <v>995</v>
      </c>
      <c r="D40" s="13" t="s">
        <v>91</v>
      </c>
      <c r="E40" s="16">
        <v>-190</v>
      </c>
      <c r="F40" s="13"/>
      <c r="G40" s="13" t="s">
        <v>57</v>
      </c>
    </row>
    <row r="41" spans="1:7" x14ac:dyDescent="0.2">
      <c r="A41" s="25" t="s">
        <v>92</v>
      </c>
      <c r="B41" s="26">
        <v>5005</v>
      </c>
      <c r="C41" s="27" t="s">
        <v>26</v>
      </c>
      <c r="D41" s="25"/>
      <c r="E41" s="27" t="s">
        <v>26</v>
      </c>
      <c r="F41" s="25"/>
      <c r="G41" s="25" t="s">
        <v>93</v>
      </c>
    </row>
    <row r="43" spans="1:7" x14ac:dyDescent="0.2">
      <c r="A43" s="5" t="s">
        <v>94</v>
      </c>
      <c r="B43" s="5"/>
      <c r="C43" s="5"/>
      <c r="D43" s="5"/>
      <c r="E43" s="5"/>
      <c r="F43" s="5"/>
      <c r="G43" s="5"/>
    </row>
    <row r="44" spans="1:7" x14ac:dyDescent="0.2">
      <c r="A44" s="28" t="s">
        <v>95</v>
      </c>
      <c r="B44" s="2" t="s">
        <v>96</v>
      </c>
      <c r="C44" s="2"/>
      <c r="D44" s="2"/>
      <c r="E44" s="2"/>
      <c r="F44" s="2"/>
      <c r="G44" s="2"/>
    </row>
    <row r="45" spans="1:7" x14ac:dyDescent="0.2">
      <c r="A45" s="29" t="s">
        <v>97</v>
      </c>
      <c r="B45" s="1" t="s">
        <v>98</v>
      </c>
      <c r="C45" s="1"/>
      <c r="D45" s="1"/>
      <c r="E45" s="1"/>
      <c r="F45" s="1"/>
      <c r="G45" s="1"/>
    </row>
    <row r="46" spans="1:7" x14ac:dyDescent="0.2">
      <c r="A46" s="28" t="s">
        <v>99</v>
      </c>
      <c r="B46" s="2" t="s">
        <v>100</v>
      </c>
      <c r="C46" s="2"/>
      <c r="D46" s="2"/>
      <c r="E46" s="2"/>
      <c r="F46" s="2"/>
      <c r="G46" s="2"/>
    </row>
    <row r="47" spans="1:7" x14ac:dyDescent="0.2">
      <c r="A47" s="29" t="s">
        <v>24</v>
      </c>
      <c r="B47" s="1" t="s">
        <v>101</v>
      </c>
      <c r="C47" s="1"/>
      <c r="D47" s="1"/>
      <c r="E47" s="1"/>
      <c r="F47" s="1"/>
      <c r="G47" s="1"/>
    </row>
    <row r="48" spans="1:7" x14ac:dyDescent="0.2">
      <c r="A48" s="28" t="s">
        <v>59</v>
      </c>
      <c r="B48" s="2" t="s">
        <v>102</v>
      </c>
      <c r="C48" s="2"/>
      <c r="D48" s="2"/>
      <c r="E48" s="2"/>
      <c r="F48" s="2"/>
      <c r="G48" s="2"/>
    </row>
    <row r="49" spans="1:7" x14ac:dyDescent="0.2">
      <c r="A49" s="29" t="s">
        <v>58</v>
      </c>
      <c r="B49" s="1" t="s">
        <v>103</v>
      </c>
      <c r="C49" s="1"/>
      <c r="D49" s="1"/>
      <c r="E49" s="1"/>
      <c r="F49" s="1"/>
      <c r="G49" s="1"/>
    </row>
    <row r="50" spans="1:7" x14ac:dyDescent="0.2">
      <c r="A50" s="28" t="s">
        <v>104</v>
      </c>
      <c r="B50" s="2" t="s">
        <v>105</v>
      </c>
      <c r="C50" s="2"/>
      <c r="D50" s="2"/>
      <c r="E50" s="2"/>
      <c r="F50" s="2"/>
      <c r="G50" s="2"/>
    </row>
  </sheetData>
  <mergeCells count="15">
    <mergeCell ref="B48:G48"/>
    <mergeCell ref="B49:G49"/>
    <mergeCell ref="B50:G50"/>
    <mergeCell ref="A35:G35"/>
    <mergeCell ref="A43:G43"/>
    <mergeCell ref="B44:G44"/>
    <mergeCell ref="B45:G45"/>
    <mergeCell ref="B46:G46"/>
    <mergeCell ref="B47:G47"/>
    <mergeCell ref="A2:G2"/>
    <mergeCell ref="A3:G3"/>
    <mergeCell ref="A5:G5"/>
    <mergeCell ref="A13:G13"/>
    <mergeCell ref="A24:G24"/>
    <mergeCell ref="A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Rates</vt:lpstr>
      <vt:lpstr>2028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Kathleen Kuehn</cp:lastModifiedBy>
  <cp:revision>0</cp:revision>
  <dcterms:created xsi:type="dcterms:W3CDTF">2026-04-20T23:46:36Z</dcterms:created>
  <dcterms:modified xsi:type="dcterms:W3CDTF">2026-04-21T03:33:54Z</dcterms:modified>
  <dc:language>en-US</dc:language>
</cp:coreProperties>
</file>